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downloads\"/>
    </mc:Choice>
  </mc:AlternateContent>
  <xr:revisionPtr revIDLastSave="0" documentId="13_ncr:1_{D820445E-F0C0-4049-8AF0-1AC6492A1D68}" xr6:coauthVersionLast="47" xr6:coauthVersionMax="47" xr10:uidLastSave="{00000000-0000-0000-0000-000000000000}"/>
  <bookViews>
    <workbookView xWindow="-120" yWindow="-120" windowWidth="29040" windowHeight="15720" xr2:uid="{193D2991-26C8-479C-85DC-DF5F7F231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C13" i="1"/>
  <c r="F5" i="1"/>
  <c r="F6" i="1"/>
  <c r="F7" i="1"/>
  <c r="F8" i="1"/>
  <c r="F9" i="1"/>
  <c r="F10" i="1"/>
  <c r="F11" i="1"/>
  <c r="F12" i="1"/>
  <c r="F4" i="1"/>
  <c r="D5" i="1"/>
  <c r="D6" i="1"/>
  <c r="D7" i="1"/>
  <c r="D8" i="1"/>
  <c r="D9" i="1"/>
  <c r="D10" i="1"/>
  <c r="D11" i="1"/>
  <c r="D12" i="1"/>
  <c r="D4" i="1"/>
  <c r="B4" i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<sst xmlns="http://schemas.openxmlformats.org/spreadsheetml/2006/main" count="11" uniqueCount="10">
  <si>
    <t>Value</t>
  </si>
  <si>
    <t>Loss ($)</t>
  </si>
  <si>
    <t>Process P Probability</t>
  </si>
  <si>
    <t>Weighted Loss ($)</t>
  </si>
  <si>
    <t>Process Q Probability</t>
  </si>
  <si>
    <t>Problem 1:</t>
  </si>
  <si>
    <t>Problem 2:</t>
  </si>
  <si>
    <t>Completed table</t>
  </si>
  <si>
    <t>Total</t>
  </si>
  <si>
    <t>k = 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</si>
</sst>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202122"/>
      <name val="Lato"/>
      <family val="2"/>
    </font>
    <font>
      <b/>
      <sz val="14"/>
      <color rgb="FF202122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85724</xdr:rowOff>
    </xdr:from>
    <xdr:to>
      <xdr:col>2</xdr:col>
      <xdr:colOff>1314450</xdr:colOff>
      <xdr:row>41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A5D9AE-20C4-641D-93FB-19C81103F4DE}"/>
            </a:ext>
          </a:extLst>
        </xdr:cNvPr>
        <xdr:cNvSpPr txBox="1"/>
      </xdr:nvSpPr>
      <xdr:spPr>
        <a:xfrm>
          <a:off x="38100" y="3695699"/>
          <a:ext cx="2647950" cy="4772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1a)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Taguchi loss function:</a:t>
          </a:r>
          <a:r>
            <a:rPr lang="en-US" b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L(x) = k(x − T)²</a:t>
          </a:r>
          <a:r>
            <a:rPr lang="en-US" b="0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Target:</a:t>
          </a:r>
          <a:r>
            <a:rPr lang="en-US" b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 = 100</a:t>
          </a:r>
          <a:r>
            <a:rPr lang="en-US" b="0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Tolerance:</a:t>
          </a:r>
          <a:r>
            <a:rPr lang="en-US" b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 ± 0.4, so deviation from target is:</a:t>
          </a:r>
          <a:r>
            <a:rPr lang="en-US" b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 = 0.4</a:t>
          </a:r>
          <a:r>
            <a:rPr lang="en-US" b="0">
              <a:effectLst/>
            </a:rPr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Scrap loss:</a:t>
          </a:r>
          <a:r>
            <a:rPr lang="en-US" b="0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= $81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So,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using, A = k(d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²)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b="0"/>
        </a:p>
        <a:p>
          <a:r>
            <a:rPr lang="en-US" b="0"/>
            <a:t>81 = k(0.4²)</a:t>
          </a:r>
        </a:p>
        <a:p>
          <a:r>
            <a:rPr lang="en-US" b="0"/>
            <a:t>81 = k(0.16)</a:t>
          </a:r>
        </a:p>
        <a:p>
          <a:r>
            <a:rPr lang="en-US" b="0"/>
            <a:t>k = 81 / 0.16</a:t>
          </a:r>
        </a:p>
        <a:p>
          <a:r>
            <a:rPr lang="en-US" b="0"/>
            <a:t>k = 506.25</a:t>
          </a:r>
        </a:p>
        <a:p>
          <a:endParaRPr lang="en-US" sz="1100" b="0" kern="1200"/>
        </a:p>
        <a:p>
          <a:r>
            <a:rPr lang="en-US" sz="1100" b="0" kern="1200"/>
            <a:t>1b)</a:t>
          </a:r>
        </a:p>
        <a:p>
          <a:r>
            <a:rPr lang="en-US" b="0"/>
            <a:t>The process is centered,</a:t>
          </a:r>
          <a:r>
            <a:rPr lang="en-US" b="0" baseline="0"/>
            <a:t> so</a:t>
          </a:r>
          <a:endParaRPr lang="en-US" b="0"/>
        </a:p>
        <a:p>
          <a:r>
            <a:rPr lang="en-US" b="0"/>
            <a:t>Expected Loss = k</a:t>
          </a:r>
          <a:r>
            <a:rPr lang="el-GR" b="0"/>
            <a:t>σ²</a:t>
          </a:r>
        </a:p>
        <a:p>
          <a:r>
            <a:rPr lang="en-US" b="0"/>
            <a:t>Standard deviation:</a:t>
          </a:r>
        </a:p>
        <a:p>
          <a:r>
            <a:rPr lang="el-GR" b="0"/>
            <a:t>σ = 0.2</a:t>
          </a:r>
        </a:p>
        <a:p>
          <a:r>
            <a:rPr lang="en-US" b="0"/>
            <a:t>So:</a:t>
          </a:r>
        </a:p>
        <a:p>
          <a:r>
            <a:rPr lang="en-US" b="0"/>
            <a:t>Expected Loss = 506.25(0.2²)</a:t>
          </a:r>
        </a:p>
        <a:p>
          <a:r>
            <a:rPr lang="en-US" b="0"/>
            <a:t>Expected Loss = 506.25(0.04)</a:t>
          </a:r>
        </a:p>
        <a:p>
          <a:r>
            <a:rPr lang="en-US" b="0"/>
            <a:t>Expected Loss = 20.25</a:t>
          </a:r>
        </a:p>
        <a:p>
          <a:endParaRPr lang="en-US" sz="1100" kern="1200"/>
        </a:p>
      </xdr:txBody>
    </xdr:sp>
    <xdr:clientData/>
  </xdr:twoCellAnchor>
  <xdr:twoCellAnchor>
    <xdr:from>
      <xdr:col>2</xdr:col>
      <xdr:colOff>1924050</xdr:colOff>
      <xdr:row>15</xdr:row>
      <xdr:rowOff>95250</xdr:rowOff>
    </xdr:from>
    <xdr:to>
      <xdr:col>4</xdr:col>
      <xdr:colOff>1609725</xdr:colOff>
      <xdr:row>40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068417-0F06-3087-8BF2-6E0ABBF03FBE}"/>
            </a:ext>
          </a:extLst>
        </xdr:cNvPr>
        <xdr:cNvSpPr txBox="1"/>
      </xdr:nvSpPr>
      <xdr:spPr>
        <a:xfrm>
          <a:off x="3295650" y="3705225"/>
          <a:ext cx="3114675" cy="456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0"/>
            <a:t>Target:</a:t>
          </a:r>
        </a:p>
        <a:p>
          <a:r>
            <a:rPr lang="en-US" b="0"/>
            <a:t>T = 0.24</a:t>
          </a:r>
        </a:p>
        <a:p>
          <a:r>
            <a:rPr lang="en-US" b="0"/>
            <a:t>Given:</a:t>
          </a:r>
        </a:p>
        <a:p>
          <a:r>
            <a:rPr lang="en-US" b="0"/>
            <a:t>k = 60,000</a:t>
          </a:r>
        </a:p>
        <a:p>
          <a:r>
            <a:rPr lang="en-US" b="0"/>
            <a:t>Loss formula:</a:t>
          </a:r>
        </a:p>
        <a:p>
          <a:r>
            <a:rPr lang="en-US" b="0"/>
            <a:t>Loss = 60,000(Value − 0.24)²</a:t>
          </a:r>
        </a:p>
        <a:p>
          <a:r>
            <a:rPr lang="en-US" b="0"/>
            <a:t>Then:</a:t>
          </a:r>
        </a:p>
        <a:p>
          <a:r>
            <a:rPr lang="en-US" b="0"/>
            <a:t>Weighted Loss = Loss × Probability</a:t>
          </a:r>
        </a:p>
        <a:p>
          <a:endParaRPr lang="en-US" b="0"/>
        </a:p>
        <a:p>
          <a:r>
            <a:rPr lang="en-US" b="0"/>
            <a:t>Now adding the weighted losses.</a:t>
          </a:r>
        </a:p>
        <a:p>
          <a:r>
            <a:rPr lang="en-US" b="0"/>
            <a:t>Process P expected loss</a:t>
          </a:r>
        </a:p>
        <a:p>
          <a:r>
            <a:rPr lang="en-US" b="0"/>
            <a:t>0 + 6.48 + 2.88 + 0.72 + 0 + 0.72 + 2.88 + 6.48 + 0</a:t>
          </a:r>
        </a:p>
        <a:p>
          <a:r>
            <a:rPr lang="en-US" b="0"/>
            <a:t>= 20.16</a:t>
          </a:r>
        </a:p>
        <a:p>
          <a:r>
            <a:rPr lang="en-US" b="0"/>
            <a:t>Process P expected loss:</a:t>
          </a:r>
        </a:p>
        <a:p>
          <a:r>
            <a:rPr lang="en-US" b="0"/>
            <a:t>$20.16</a:t>
          </a:r>
        </a:p>
        <a:p>
          <a:r>
            <a:rPr lang="en-US" b="0"/>
            <a:t>Process Q expected loss</a:t>
          </a:r>
        </a:p>
        <a:p>
          <a:r>
            <a:rPr lang="en-US" b="0"/>
            <a:t>1.92 + 1.62 + 3.60 + 0.90 + 0 + 0.90 + 3.60 + 1.62 + 1.92</a:t>
          </a:r>
        </a:p>
        <a:p>
          <a:r>
            <a:rPr lang="en-US" b="0"/>
            <a:t>= 16.08</a:t>
          </a:r>
        </a:p>
        <a:p>
          <a:r>
            <a:rPr lang="en-US" b="0"/>
            <a:t>Process Q expected loss:</a:t>
          </a:r>
        </a:p>
        <a:p>
          <a:r>
            <a:rPr lang="en-US" b="0"/>
            <a:t>$16.08</a:t>
          </a:r>
        </a:p>
        <a:p>
          <a:r>
            <a:rPr lang="en-US" b="0"/>
            <a:t>So,</a:t>
          </a:r>
          <a:r>
            <a:rPr lang="en-US" b="0" baseline="0"/>
            <a:t> we need to c</a:t>
          </a:r>
          <a:r>
            <a:rPr lang="en-US" b="0"/>
            <a:t>hoose Process Q, because it has the lower expected loss:</a:t>
          </a:r>
        </a:p>
        <a:p>
          <a:r>
            <a:rPr lang="en-US" b="0"/>
            <a:t>Process Q: $16.08 &lt; Process P: $20.16</a:t>
          </a:r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409E-9241-42B6-A043-CEE18A777544}">
  <dimension ref="A1:F33"/>
  <sheetViews>
    <sheetView tabSelected="1" workbookViewId="0">
      <selection activeCell="B4" sqref="B4"/>
    </sheetView>
  </sheetViews>
  <sheetFormatPr defaultRowHeight="15" x14ac:dyDescent="0.25"/>
  <cols>
    <col min="1" max="1" width="23.28515625" customWidth="1"/>
    <col min="3" max="3" width="25.85546875" customWidth="1"/>
    <col min="4" max="4" width="19.140625" customWidth="1"/>
    <col min="5" max="5" width="28" customWidth="1"/>
  </cols>
  <sheetData>
    <row r="1" spans="1:6" ht="21.75" customHeight="1" x14ac:dyDescent="0.25">
      <c r="A1" s="1" t="s">
        <v>7</v>
      </c>
      <c r="B1" s="1"/>
      <c r="C1" s="5" t="s">
        <v>2</v>
      </c>
      <c r="D1" s="5" t="s">
        <v>3</v>
      </c>
      <c r="E1" s="5" t="s">
        <v>4</v>
      </c>
      <c r="F1" s="5" t="s">
        <v>3</v>
      </c>
    </row>
    <row r="2" spans="1:6" x14ac:dyDescent="0.25">
      <c r="A2" s="2"/>
      <c r="B2" s="2" t="s">
        <v>9</v>
      </c>
      <c r="C2" s="5"/>
      <c r="D2" s="5"/>
      <c r="E2" s="5"/>
      <c r="F2" s="5"/>
    </row>
    <row r="3" spans="1:6" ht="36" x14ac:dyDescent="0.25">
      <c r="A3" s="3" t="s">
        <v>0</v>
      </c>
      <c r="B3" s="3" t="s">
        <v>1</v>
      </c>
      <c r="C3" s="5"/>
      <c r="D3" s="5"/>
      <c r="E3" s="5"/>
      <c r="F3" s="5"/>
    </row>
    <row r="4" spans="1:6" ht="18" x14ac:dyDescent="0.25">
      <c r="A4" s="1">
        <v>0.2</v>
      </c>
      <c r="B4" s="1">
        <f>60000*(A4-0.24)^2</f>
        <v>95.999999999999901</v>
      </c>
      <c r="C4" s="1">
        <v>0</v>
      </c>
      <c r="D4" s="1">
        <f>B4*C4</f>
        <v>0</v>
      </c>
      <c r="E4" s="1">
        <v>0.02</v>
      </c>
      <c r="F4" s="1">
        <f>B4*E4</f>
        <v>1.9199999999999982</v>
      </c>
    </row>
    <row r="5" spans="1:6" ht="18" x14ac:dyDescent="0.25">
      <c r="A5" s="1">
        <v>0.21</v>
      </c>
      <c r="B5" s="1">
        <f t="shared" ref="B5:B12" si="0">60000*(A5-0.24)^2</f>
        <v>54</v>
      </c>
      <c r="C5" s="1">
        <v>0.12</v>
      </c>
      <c r="D5" s="1">
        <f t="shared" ref="D5:D12" si="1">B5*C5</f>
        <v>6.4799999999999995</v>
      </c>
      <c r="E5" s="1">
        <v>0.03</v>
      </c>
      <c r="F5" s="1">
        <f t="shared" ref="F5:F12" si="2">B5*E5</f>
        <v>1.6199999999999999</v>
      </c>
    </row>
    <row r="6" spans="1:6" ht="18" x14ac:dyDescent="0.25">
      <c r="A6" s="1">
        <v>0.22</v>
      </c>
      <c r="B6" s="1">
        <f t="shared" si="0"/>
        <v>23.999999999999975</v>
      </c>
      <c r="C6" s="1">
        <v>0.12</v>
      </c>
      <c r="D6" s="1">
        <f t="shared" si="1"/>
        <v>2.8799999999999968</v>
      </c>
      <c r="E6" s="1">
        <v>0.15</v>
      </c>
      <c r="F6" s="1">
        <f t="shared" si="2"/>
        <v>3.5999999999999961</v>
      </c>
    </row>
    <row r="7" spans="1:6" ht="18" x14ac:dyDescent="0.25">
      <c r="A7" s="1">
        <v>0.23</v>
      </c>
      <c r="B7" s="1">
        <f t="shared" si="0"/>
        <v>5.9999999999999778</v>
      </c>
      <c r="C7" s="1">
        <v>0.12</v>
      </c>
      <c r="D7" s="1">
        <f t="shared" si="1"/>
        <v>0.71999999999999731</v>
      </c>
      <c r="E7" s="1">
        <v>0.15</v>
      </c>
      <c r="F7" s="1">
        <f t="shared" si="2"/>
        <v>0.89999999999999658</v>
      </c>
    </row>
    <row r="8" spans="1:6" ht="18" x14ac:dyDescent="0.25">
      <c r="A8" s="1">
        <v>0.24</v>
      </c>
      <c r="B8" s="1">
        <f t="shared" si="0"/>
        <v>0</v>
      </c>
      <c r="C8" s="1">
        <v>0.28000000000000003</v>
      </c>
      <c r="D8" s="1">
        <f t="shared" si="1"/>
        <v>0</v>
      </c>
      <c r="E8" s="1">
        <v>0.3</v>
      </c>
      <c r="F8" s="1">
        <f t="shared" si="2"/>
        <v>0</v>
      </c>
    </row>
    <row r="9" spans="1:6" ht="18" x14ac:dyDescent="0.25">
      <c r="A9" s="1">
        <v>0.25</v>
      </c>
      <c r="B9" s="1">
        <f t="shared" si="0"/>
        <v>6.0000000000000107</v>
      </c>
      <c r="C9" s="1">
        <v>0.12</v>
      </c>
      <c r="D9" s="1">
        <f t="shared" si="1"/>
        <v>0.72000000000000131</v>
      </c>
      <c r="E9" s="1">
        <v>0.15</v>
      </c>
      <c r="F9" s="1">
        <f t="shared" si="2"/>
        <v>0.90000000000000158</v>
      </c>
    </row>
    <row r="10" spans="1:6" ht="18" x14ac:dyDescent="0.25">
      <c r="A10" s="1">
        <v>0.26</v>
      </c>
      <c r="B10" s="1">
        <f t="shared" si="0"/>
        <v>24.000000000000043</v>
      </c>
      <c r="C10" s="1">
        <v>0.12</v>
      </c>
      <c r="D10" s="1">
        <f t="shared" si="1"/>
        <v>2.8800000000000052</v>
      </c>
      <c r="E10" s="1">
        <v>0.15</v>
      </c>
      <c r="F10" s="1">
        <f t="shared" si="2"/>
        <v>3.6000000000000063</v>
      </c>
    </row>
    <row r="11" spans="1:6" ht="18" x14ac:dyDescent="0.25">
      <c r="A11" s="1">
        <v>0.27</v>
      </c>
      <c r="B11" s="1">
        <f t="shared" si="0"/>
        <v>54.000000000000099</v>
      </c>
      <c r="C11" s="1">
        <v>0.12</v>
      </c>
      <c r="D11" s="1">
        <f t="shared" si="1"/>
        <v>6.480000000000012</v>
      </c>
      <c r="E11" s="1">
        <v>0.03</v>
      </c>
      <c r="F11" s="1">
        <f t="shared" si="2"/>
        <v>1.620000000000003</v>
      </c>
    </row>
    <row r="12" spans="1:6" ht="18" x14ac:dyDescent="0.25">
      <c r="A12" s="1">
        <v>0.28000000000000003</v>
      </c>
      <c r="B12" s="1">
        <f t="shared" si="0"/>
        <v>96.000000000000171</v>
      </c>
      <c r="C12" s="1">
        <v>0</v>
      </c>
      <c r="D12" s="1">
        <f t="shared" si="1"/>
        <v>0</v>
      </c>
      <c r="E12" s="1">
        <v>0.02</v>
      </c>
      <c r="F12" s="1">
        <f t="shared" si="2"/>
        <v>1.9200000000000035</v>
      </c>
    </row>
    <row r="13" spans="1:6" ht="18" x14ac:dyDescent="0.25">
      <c r="A13" s="6" t="s">
        <v>8</v>
      </c>
      <c r="B13" s="6"/>
      <c r="C13" s="1">
        <f>SUM(C4:C12)</f>
        <v>1</v>
      </c>
      <c r="D13" s="1">
        <f t="shared" ref="D13:F13" si="3">SUM(D4:D12)</f>
        <v>20.160000000000011</v>
      </c>
      <c r="E13" s="1">
        <f t="shared" si="3"/>
        <v>1</v>
      </c>
      <c r="F13" s="1">
        <f t="shared" si="3"/>
        <v>16.080000000000005</v>
      </c>
    </row>
    <row r="14" spans="1:6" ht="18" x14ac:dyDescent="0.25">
      <c r="A14" s="1"/>
    </row>
    <row r="15" spans="1:6" x14ac:dyDescent="0.25">
      <c r="A15" t="s">
        <v>5</v>
      </c>
      <c r="D15" t="s">
        <v>6</v>
      </c>
    </row>
    <row r="16" spans="1:6" x14ac:dyDescent="0.25">
      <c r="C16" s="4"/>
    </row>
    <row r="17" spans="1:2" x14ac:dyDescent="0.25">
      <c r="B17" s="4"/>
    </row>
    <row r="18" spans="1:2" x14ac:dyDescent="0.25">
      <c r="B18" s="4"/>
    </row>
    <row r="19" spans="1:2" x14ac:dyDescent="0.25">
      <c r="A19" s="4"/>
    </row>
    <row r="20" spans="1:2" x14ac:dyDescent="0.25">
      <c r="B20" s="4"/>
    </row>
    <row r="23" spans="1:2" x14ac:dyDescent="0.25">
      <c r="A23" s="4"/>
    </row>
    <row r="25" spans="1:2" x14ac:dyDescent="0.25">
      <c r="A25" s="4"/>
    </row>
    <row r="27" spans="1:2" x14ac:dyDescent="0.25">
      <c r="A27" s="4"/>
    </row>
    <row r="29" spans="1:2" x14ac:dyDescent="0.25">
      <c r="A29" s="4"/>
    </row>
    <row r="33" spans="1:1" x14ac:dyDescent="0.25">
      <c r="A33" s="4"/>
    </row>
  </sheetData>
  <mergeCells count="5">
    <mergeCell ref="C1:C3"/>
    <mergeCell ref="D1:D3"/>
    <mergeCell ref="E1:E3"/>
    <mergeCell ref="F1:F3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Khandelwal</dc:creator>
  <cp:lastModifiedBy>Sara Khandelwal</cp:lastModifiedBy>
  <dcterms:created xsi:type="dcterms:W3CDTF">2026-05-06T17:29:19Z</dcterms:created>
  <dcterms:modified xsi:type="dcterms:W3CDTF">2026-05-06T17:45:12Z</dcterms:modified>
</cp:coreProperties>
</file>